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025" activeTab="1"/>
  </bookViews>
  <sheets>
    <sheet name="Poulty_Farm_Analysis" sheetId="1" r:id="rId1"/>
    <sheet name="Dashboard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<sst xmlns="http://schemas.openxmlformats.org/spreadsheetml/2006/main" count="15" uniqueCount="14">
  <si>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Month</t>
  </si>
  <si>
    <t>Birds (start)</t>
  </si>
  <si>
    <t>Mortality</t>
  </si>
  <si>
    <t>Feed Cost (₦)</t>
  </si>
  <si>
    <t>Eggs Produced</t>
  </si>
  <si>
    <t>Revenue (₦)</t>
  </si>
  <si>
    <t>Profit (₦)</t>
  </si>
  <si>
    <t>Feed Cost (%)</t>
  </si>
  <si>
    <t>Mortality Rate (%)</t>
  </si>
  <si>
    <t>POULTRY FARM ANALYSIS</t>
  </si>
  <si>
    <t>Monthly Profit</t>
  </si>
  <si>
    <t>Feed cost of  Revenue</t>
  </si>
  <si>
    <t>Egg Production</t>
  </si>
  <si>
    <t>By: Daniel Emmanuel Nanshak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</si>
</sst>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[$-409]d\-mmm\-yyyy;@"/>
  </numFmts>
  <fonts count="2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178" fontId="5" fillId="4" borderId="1" xfId="0" applyNumberFormat="1" applyFont="1" applyFill="1" applyBorder="1" applyAlignment="1" applyProtection="1">
      <alignment horizontal="center" vertical="center" wrapText="1"/>
    </xf>
    <xf numFmtId="0" fontId="5" fillId="4" borderId="2" xfId="0" applyNumberFormat="1" applyFont="1" applyFill="1" applyBorder="1" applyAlignment="1" applyProtection="1">
      <alignment horizontal="center" vertical="center" wrapText="1"/>
    </xf>
    <xf numFmtId="0" fontId="5" fillId="4" borderId="3" xfId="0" applyNumberFormat="1" applyFont="1" applyFill="1" applyBorder="1" applyAlignment="1" applyProtection="1">
      <alignment horizontal="center" vertical="center" wrapText="1"/>
    </xf>
    <xf numFmtId="0" fontId="5" fillId="4" borderId="2" xfId="0" applyNumberFormat="1" applyFont="1" applyFill="1" applyBorder="1" applyAlignment="1" applyProtection="1">
      <alignment vertical="center"/>
    </xf>
    <xf numFmtId="10" fontId="5" fillId="4" borderId="2" xfId="0" applyNumberFormat="1" applyFont="1" applyFill="1" applyBorder="1" applyAlignment="1" applyProtection="1">
      <alignment vertical="center"/>
    </xf>
    <xf numFmtId="10" fontId="5" fillId="4" borderId="3" xfId="0" applyNumberFormat="1" applyFont="1" applyFill="1" applyBorder="1" applyAlignment="1" applyProtection="1">
      <alignment vertical="center"/>
    </xf>
    <xf numFmtId="179" fontId="0" fillId="5" borderId="4" xfId="0" applyNumberFormat="1" applyFont="1" applyFill="1" applyBorder="1" applyAlignment="1" applyProtection="1">
      <alignment vertical="center" wrapText="1"/>
    </xf>
    <xf numFmtId="0" fontId="0" fillId="5" borderId="5" xfId="0" applyNumberFormat="1" applyFont="1" applyFill="1" applyBorder="1" applyAlignment="1" applyProtection="1">
      <alignment vertical="center" wrapText="1"/>
    </xf>
    <xf numFmtId="3" fontId="0" fillId="5" borderId="5" xfId="0" applyNumberFormat="1" applyFont="1" applyFill="1" applyBorder="1" applyAlignment="1" applyProtection="1">
      <alignment vertical="center" wrapText="1"/>
    </xf>
    <xf numFmtId="3" fontId="0" fillId="5" borderId="6" xfId="0" applyNumberFormat="1" applyFont="1" applyFill="1" applyBorder="1" applyAlignment="1" applyProtection="1">
      <alignment vertical="center" wrapText="1"/>
    </xf>
    <xf numFmtId="0" fontId="0" fillId="5" borderId="5" xfId="0" applyNumberFormat="1" applyFont="1" applyFill="1" applyBorder="1" applyAlignment="1" applyProtection="1">
      <alignment vertical="center"/>
    </xf>
    <xf numFmtId="10" fontId="0" fillId="5" borderId="5" xfId="0" applyNumberFormat="1" applyFont="1" applyFill="1" applyBorder="1" applyAlignment="1" applyProtection="1">
      <alignment vertical="center"/>
    </xf>
    <xf numFmtId="10" fontId="0" fillId="5" borderId="6" xfId="0" applyNumberFormat="1" applyFont="1" applyFill="1" applyBorder="1" applyAlignment="1" applyProtection="1">
      <alignment vertical="center"/>
    </xf>
    <xf numFmtId="179" fontId="0" fillId="0" borderId="4" xfId="0" applyNumberFormat="1" applyFont="1" applyFill="1" applyBorder="1" applyAlignment="1" applyProtection="1">
      <alignment vertical="center" wrapText="1"/>
    </xf>
    <xf numFmtId="0" fontId="0" fillId="0" borderId="5" xfId="0" applyNumberFormat="1" applyFont="1" applyFill="1" applyBorder="1" applyAlignment="1" applyProtection="1">
      <alignment vertical="center" wrapText="1"/>
    </xf>
    <xf numFmtId="3" fontId="0" fillId="0" borderId="5" xfId="0" applyNumberFormat="1" applyFont="1" applyFill="1" applyBorder="1" applyAlignment="1" applyProtection="1">
      <alignment vertical="center" wrapText="1"/>
    </xf>
    <xf numFmtId="3" fontId="0" fillId="0" borderId="6" xfId="0" applyNumberFormat="1" applyFont="1" applyFill="1" applyBorder="1" applyAlignment="1" applyProtection="1">
      <alignment vertical="center" wrapText="1"/>
    </xf>
    <xf numFmtId="0" fontId="0" fillId="0" borderId="5" xfId="0" applyNumberFormat="1" applyFont="1" applyFill="1" applyBorder="1" applyAlignment="1" applyProtection="1">
      <alignment vertical="center"/>
    </xf>
    <xf numFmtId="10" fontId="0" fillId="0" borderId="5" xfId="0" applyNumberFormat="1" applyFont="1" applyFill="1" applyBorder="1" applyAlignment="1" applyProtection="1">
      <alignment vertical="center"/>
    </xf>
    <xf numFmtId="10" fontId="0" fillId="0" borderId="6" xfId="0" applyNumberFormat="1" applyFont="1" applyFill="1" applyBorder="1" applyAlignment="1" applyProtection="1">
      <alignment vertical="center"/>
    </xf>
    <xf numFmtId="179" fontId="0" fillId="0" borderId="7" xfId="0" applyNumberFormat="1" applyFont="1" applyFill="1" applyBorder="1" applyAlignment="1" applyProtection="1">
      <alignment vertical="center" wrapText="1"/>
    </xf>
    <xf numFmtId="0" fontId="0" fillId="0" borderId="8" xfId="0" applyNumberFormat="1" applyFont="1" applyFill="1" applyBorder="1" applyAlignment="1" applyProtection="1">
      <alignment vertical="center" wrapText="1"/>
    </xf>
    <xf numFmtId="3" fontId="0" fillId="0" borderId="8" xfId="0" applyNumberFormat="1" applyFont="1" applyFill="1" applyBorder="1" applyAlignment="1" applyProtection="1">
      <alignment vertical="center" wrapText="1"/>
    </xf>
    <xf numFmtId="3" fontId="0" fillId="0" borderId="9" xfId="0" applyNumberFormat="1" applyFont="1" applyFill="1" applyBorder="1" applyAlignment="1" applyProtection="1">
      <alignment vertical="center" wrapText="1"/>
    </xf>
    <xf numFmtId="0" fontId="0" fillId="0" borderId="8" xfId="0" applyNumberFormat="1" applyFont="1" applyFill="1" applyBorder="1" applyAlignment="1" applyProtection="1">
      <alignment vertical="center"/>
    </xf>
    <xf numFmtId="10" fontId="0" fillId="0" borderId="8" xfId="0" applyNumberFormat="1" applyFont="1" applyFill="1" applyBorder="1" applyAlignment="1" applyProtection="1">
      <alignment vertical="center"/>
    </xf>
    <xf numFmtId="10" fontId="0" fillId="0" borderId="9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Poulty_Farm_Analysis!$G$1</c:f>
              <c:strCache>
                <c:ptCount val="1"/>
                <c:pt idx="0">
                  <c:v>Profit (₦)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Poulty_Farm_Analysis!$A$2:$A$9</c:f>
              <c:numCache>
                <c:formatCode>[$-409]d\-mmm\-yyyy;@</c:formatCode>
                <c:ptCount val="8"/>
                <c:pt idx="0" c:formatCode="[$-409]d\-mmm\-yyyy;@">
                  <c:v>45505</c:v>
                </c:pt>
                <c:pt idx="1" c:formatCode="[$-409]d\-mmm\-yyyy;@">
                  <c:v>45536</c:v>
                </c:pt>
                <c:pt idx="2" c:formatCode="[$-409]d\-mmm\-yyyy;@">
                  <c:v>45566</c:v>
                </c:pt>
                <c:pt idx="3" c:formatCode="[$-409]d\-mmm\-yyyy;@">
                  <c:v>45597</c:v>
                </c:pt>
                <c:pt idx="4" c:formatCode="[$-409]d\-mmm\-yyyy;@">
                  <c:v>45627</c:v>
                </c:pt>
                <c:pt idx="5" c:formatCode="[$-409]d\-mmm\-yyyy;@">
                  <c:v>45658</c:v>
                </c:pt>
                <c:pt idx="6" c:formatCode="[$-409]d\-mmm\-yyyy;@">
                  <c:v>45689</c:v>
                </c:pt>
                <c:pt idx="7" c:formatCode="[$-409]d\-mmm\-yyyy;@">
                  <c:v>45717</c:v>
                </c:pt>
              </c:numCache>
            </c:numRef>
          </c:cat>
          <c:val>
            <c:numRef>
              <c:f>Poulty_Farm_Analysis!$G$2:$G$9</c:f>
              <c:numCache>
                <c:formatCode>General</c:formatCode>
                <c:ptCount val="8"/>
                <c:pt idx="0">
                  <c:v>72000</c:v>
                </c:pt>
                <c:pt idx="1">
                  <c:v>68000</c:v>
                </c:pt>
                <c:pt idx="2">
                  <c:v>38000</c:v>
                </c:pt>
                <c:pt idx="3">
                  <c:v>52000</c:v>
                </c:pt>
                <c:pt idx="4">
                  <c:v>66000</c:v>
                </c:pt>
                <c:pt idx="5">
                  <c:v>18000</c:v>
                </c:pt>
                <c:pt idx="6">
                  <c:v>56000</c:v>
                </c:pt>
                <c:pt idx="7">
                  <c:v>77000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58607420"/>
        <c:axId val="892327110"/>
      </c:barChart>
      <c:dateAx>
        <c:axId val="1586074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327110"/>
        <c:crosses val="autoZero"/>
        <c:auto val="1"/>
        <c:lblOffset val="100"/>
        <c:baseTimeUnit val="months"/>
      </c:dateAx>
      <c:valAx>
        <c:axId val="8923271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6074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Feed Cost % of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Poulty_Farm_Analysis!$H$1</c:f>
              <c:strCache>
                <c:ptCount val="1"/>
                <c:pt idx="0">
                  <c:v>Feed Cost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Poulty_Farm_Analysis!$A$2:$A$9</c:f>
              <c:numCache>
                <c:formatCode>[$-409]d\-mmm\-yyyy;@</c:formatCode>
                <c:ptCount val="8"/>
                <c:pt idx="0" c:formatCode="[$-409]d\-mmm\-yyyy;@">
                  <c:v>45505</c:v>
                </c:pt>
                <c:pt idx="1" c:formatCode="[$-409]d\-mmm\-yyyy;@">
                  <c:v>45536</c:v>
                </c:pt>
                <c:pt idx="2" c:formatCode="[$-409]d\-mmm\-yyyy;@">
                  <c:v>45566</c:v>
                </c:pt>
                <c:pt idx="3" c:formatCode="[$-409]d\-mmm\-yyyy;@">
                  <c:v>45597</c:v>
                </c:pt>
                <c:pt idx="4" c:formatCode="[$-409]d\-mmm\-yyyy;@">
                  <c:v>45627</c:v>
                </c:pt>
                <c:pt idx="5" c:formatCode="[$-409]d\-mmm\-yyyy;@">
                  <c:v>45658</c:v>
                </c:pt>
                <c:pt idx="6" c:formatCode="[$-409]d\-mmm\-yyyy;@">
                  <c:v>45689</c:v>
                </c:pt>
                <c:pt idx="7" c:formatCode="[$-409]d\-mmm\-yyyy;@">
                  <c:v>45717</c:v>
                </c:pt>
              </c:numCache>
            </c:numRef>
          </c:cat>
          <c:val>
            <c:numRef>
              <c:f>Poulty_Farm_Analysis!$H$2:$H$9</c:f>
              <c:numCache>
                <c:formatCode>0.00%</c:formatCode>
                <c:ptCount val="8"/>
                <c:pt idx="0">
                  <c:v>0.714285714285714</c:v>
                </c:pt>
                <c:pt idx="1">
                  <c:v>0.720164609053498</c:v>
                </c:pt>
                <c:pt idx="2">
                  <c:v>0.833333333333333</c:v>
                </c:pt>
                <c:pt idx="3">
                  <c:v>0.780590717299578</c:v>
                </c:pt>
                <c:pt idx="4">
                  <c:v>0.760869565217391</c:v>
                </c:pt>
                <c:pt idx="5">
                  <c:v>0.915492957746479</c:v>
                </c:pt>
                <c:pt idx="6">
                  <c:v>0.760683760683761</c:v>
                </c:pt>
                <c:pt idx="7">
                  <c:v>0.690763052208835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9989311"/>
        <c:axId val="961130029"/>
      </c:lineChart>
      <c:dateAx>
        <c:axId val="8299893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1130029"/>
        <c:crosses val="autoZero"/>
        <c:auto val="1"/>
        <c:lblOffset val="100"/>
        <c:baseTimeUnit val="months"/>
      </c:dateAx>
      <c:valAx>
        <c:axId val="9611300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98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Egg Production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Poulty_Farm_Analysis!$A$2:$A$9</c:f>
              <c:numCache>
                <c:formatCode>[$-409]d\-mmm\-yyyy;@</c:formatCode>
                <c:ptCount val="8"/>
                <c:pt idx="0" c:formatCode="[$-409]d\-mmm\-yyyy;@">
                  <c:v>45505</c:v>
                </c:pt>
                <c:pt idx="1" c:formatCode="[$-409]d\-mmm\-yyyy;@">
                  <c:v>45536</c:v>
                </c:pt>
                <c:pt idx="2" c:formatCode="[$-409]d\-mmm\-yyyy;@">
                  <c:v>45566</c:v>
                </c:pt>
                <c:pt idx="3" c:formatCode="[$-409]d\-mmm\-yyyy;@">
                  <c:v>45597</c:v>
                </c:pt>
                <c:pt idx="4" c:formatCode="[$-409]d\-mmm\-yyyy;@">
                  <c:v>45627</c:v>
                </c:pt>
                <c:pt idx="5" c:formatCode="[$-409]d\-mmm\-yyyy;@">
                  <c:v>45658</c:v>
                </c:pt>
                <c:pt idx="6" c:formatCode="[$-409]d\-mmm\-yyyy;@">
                  <c:v>45689</c:v>
                </c:pt>
                <c:pt idx="7" c:formatCode="[$-409]d\-mmm\-yyyy;@">
                  <c:v>45717</c:v>
                </c:pt>
              </c:numCache>
            </c:numRef>
          </c:cat>
          <c:val>
            <c:numRef>
              <c:f>Poulty_Farm_Analysis!$E$2:$E$9</c:f>
              <c:numCache>
                <c:formatCode>#,##0</c:formatCode>
                <c:ptCount val="8"/>
                <c:pt idx="0">
                  <c:v>8400</c:v>
                </c:pt>
                <c:pt idx="1">
                  <c:v>8100</c:v>
                </c:pt>
                <c:pt idx="2">
                  <c:v>7600</c:v>
                </c:pt>
                <c:pt idx="3">
                  <c:v>7900</c:v>
                </c:pt>
                <c:pt idx="4">
                  <c:v>9200</c:v>
                </c:pt>
                <c:pt idx="5">
                  <c:v>7100</c:v>
                </c:pt>
                <c:pt idx="6">
                  <c:v>7800</c:v>
                </c:pt>
                <c:pt idx="7">
                  <c:v>8300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68660"/>
        <c:axId val="742079006"/>
      </c:lineChart>
      <c:dateAx>
        <c:axId val="9289686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2079006"/>
        <c:crosses val="autoZero"/>
        <c:auto val="1"/>
        <c:lblOffset val="100"/>
        <c:baseTimeUnit val="months"/>
      </c:dateAx>
      <c:valAx>
        <c:axId val="7420790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9686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Mortality Rate of Birds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Poulty_Farm_Analysis!$I$1</c:f>
              <c:strCache>
                <c:ptCount val="1"/>
                <c:pt idx="0">
                  <c:v>Mortality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Poulty_Farm_Analysis!$A$2:$A$9</c:f>
              <c:numCache>
                <c:formatCode>[$-409]d\-mmm\-yyyy;@</c:formatCode>
                <c:ptCount val="8"/>
                <c:pt idx="0" c:formatCode="[$-409]d\-mmm\-yyyy;@">
                  <c:v>45505</c:v>
                </c:pt>
                <c:pt idx="1" c:formatCode="[$-409]d\-mmm\-yyyy;@">
                  <c:v>45536</c:v>
                </c:pt>
                <c:pt idx="2" c:formatCode="[$-409]d\-mmm\-yyyy;@">
                  <c:v>45566</c:v>
                </c:pt>
                <c:pt idx="3" c:formatCode="[$-409]d\-mmm\-yyyy;@">
                  <c:v>45597</c:v>
                </c:pt>
                <c:pt idx="4" c:formatCode="[$-409]d\-mmm\-yyyy;@">
                  <c:v>45627</c:v>
                </c:pt>
                <c:pt idx="5" c:formatCode="[$-409]d\-mmm\-yyyy;@">
                  <c:v>45658</c:v>
                </c:pt>
                <c:pt idx="6" c:formatCode="[$-409]d\-mmm\-yyyy;@">
                  <c:v>45689</c:v>
                </c:pt>
                <c:pt idx="7" c:formatCode="[$-409]d\-mmm\-yyyy;@">
                  <c:v>45717</c:v>
                </c:pt>
              </c:numCache>
            </c:numRef>
          </c:cat>
          <c:val>
            <c:numRef>
              <c:f>Poulty_Farm_Analysis!$I$2:$I$9</c:f>
              <c:numCache>
                <c:formatCode>0.00%</c:formatCode>
                <c:ptCount val="8"/>
                <c:pt idx="0">
                  <c:v>0.024</c:v>
                </c:pt>
                <c:pt idx="1">
                  <c:v>0.0163934426229508</c:v>
                </c:pt>
                <c:pt idx="2">
                  <c:v>0.0458333333333333</c:v>
                </c:pt>
                <c:pt idx="3">
                  <c:v>0.0327510917030568</c:v>
                </c:pt>
                <c:pt idx="4">
                  <c:v>0.0203160270880361</c:v>
                </c:pt>
                <c:pt idx="5">
                  <c:v>0.0714285714285714</c:v>
                </c:pt>
                <c:pt idx="6">
                  <c:v>0.0446650124069479</c:v>
                </c:pt>
                <c:pt idx="7">
                  <c:v>0.0285714285714286</c:v>
                </c:pt>
              </c:numCache>
            </c:numRef>
          </c:val>
        </c:ser>
        <c:ser>
          <c:idx val="1"/>
          <c:order val="1"/>
          <c:tx>
            <c:strRef>
              <c:f>"Mortality"</c:f>
              <c:strCache>
                <c:ptCount val="1"/>
                <c:pt idx="0">
                  <c:v>Mortality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Poulty_Farm_Analysis!$A$2:$A$9</c:f>
              <c:numCache>
                <c:formatCode>[$-409]d\-mmm\-yyyy;@</c:formatCode>
                <c:ptCount val="8"/>
                <c:pt idx="0" c:formatCode="[$-409]d\-mmm\-yyyy;@">
                  <c:v>45505</c:v>
                </c:pt>
                <c:pt idx="1" c:formatCode="[$-409]d\-mmm\-yyyy;@">
                  <c:v>45536</c:v>
                </c:pt>
                <c:pt idx="2" c:formatCode="[$-409]d\-mmm\-yyyy;@">
                  <c:v>45566</c:v>
                </c:pt>
                <c:pt idx="3" c:formatCode="[$-409]d\-mmm\-yyyy;@">
                  <c:v>45597</c:v>
                </c:pt>
                <c:pt idx="4" c:formatCode="[$-409]d\-mmm\-yyyy;@">
                  <c:v>45627</c:v>
                </c:pt>
                <c:pt idx="5" c:formatCode="[$-409]d\-mmm\-yyyy;@">
                  <c:v>45658</c:v>
                </c:pt>
                <c:pt idx="6" c:formatCode="[$-409]d\-mmm\-yyyy;@">
                  <c:v>45689</c:v>
                </c:pt>
                <c:pt idx="7" c:formatCode="[$-409]d\-mmm\-yyyy;@">
                  <c:v>45717</c:v>
                </c:pt>
              </c:numCache>
            </c:numRef>
          </c:cat>
          <c:val>
            <c:numRef>
              <c:f>Poulty_Farm_Analysis!$C$2:$C$9</c:f>
              <c:numCache>
                <c:formatCode>General</c:formatCode>
                <c:ptCount val="8"/>
                <c:pt idx="0">
                  <c:v>12</c:v>
                </c:pt>
                <c:pt idx="1">
                  <c:v>8</c:v>
                </c:pt>
                <c:pt idx="2">
                  <c:v>22</c:v>
                </c:pt>
                <c:pt idx="3">
                  <c:v>15</c:v>
                </c:pt>
                <c:pt idx="4">
                  <c:v>9</c:v>
                </c:pt>
                <c:pt idx="5">
                  <c:v>31</c:v>
                </c:pt>
                <c:pt idx="6">
                  <c:v>18</c:v>
                </c:pt>
                <c:pt idx="7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63063487"/>
        <c:axId val="338812143"/>
      </c:barChart>
      <c:dateAx>
        <c:axId val="4630634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812143"/>
        <c:crosses val="autoZero"/>
        <c:auto val="1"/>
        <c:lblOffset val="100"/>
        <c:baseTimeUnit val="months"/>
      </c:dateAx>
      <c:valAx>
        <c:axId val="33881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06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Poulty_Farm_Analysis!$G$1</c:f>
              <c:strCache>
                <c:ptCount val="1"/>
                <c:pt idx="0">
                  <c:v>Profit (₦)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[1]Sheet1!$A$2:$A$9</c:f>
              <c:numCache>
                <c:formatCode>m/d/yyyy;@</c:formatCode>
                <c:ptCount val="8"/>
                <c:pt idx="0" c:formatCode="m/d/yyyy;@">
                  <c:v>45505</c:v>
                </c:pt>
                <c:pt idx="1" c:formatCode="m/d/yyyy;@">
                  <c:v>45536</c:v>
                </c:pt>
                <c:pt idx="2" c:formatCode="m/d/yyyy;@">
                  <c:v>45566</c:v>
                </c:pt>
                <c:pt idx="3" c:formatCode="m/d/yyyy;@">
                  <c:v>45597</c:v>
                </c:pt>
                <c:pt idx="4" c:formatCode="m/d/yyyy;@">
                  <c:v>45627</c:v>
                </c:pt>
                <c:pt idx="5" c:formatCode="m/d/yyyy;@">
                  <c:v>45658</c:v>
                </c:pt>
                <c:pt idx="6" c:formatCode="m/d/yyyy;@">
                  <c:v>45689</c:v>
                </c:pt>
                <c:pt idx="7" c:formatCode="m/d/yyyy;@">
                  <c:v>45717</c:v>
                </c:pt>
              </c:numCache>
            </c:numRef>
          </c:cat>
          <c:val>
            <c:numRef>
              <c:f>[1]Sheet1!$G$2:$G$9</c:f>
              <c:numCache>
                <c:formatCode>General</c:formatCode>
                <c:ptCount val="8"/>
                <c:pt idx="0">
                  <c:v>72000</c:v>
                </c:pt>
                <c:pt idx="1">
                  <c:v>68000</c:v>
                </c:pt>
                <c:pt idx="2">
                  <c:v>38000</c:v>
                </c:pt>
                <c:pt idx="3">
                  <c:v>52000</c:v>
                </c:pt>
                <c:pt idx="4">
                  <c:v>66000</c:v>
                </c:pt>
                <c:pt idx="5">
                  <c:v>18000</c:v>
                </c:pt>
                <c:pt idx="6">
                  <c:v>56000</c:v>
                </c:pt>
                <c:pt idx="7">
                  <c:v>77000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58607420"/>
        <c:axId val="892327110"/>
      </c:barChart>
      <c:dateAx>
        <c:axId val="1586074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327110"/>
        <c:crosses val="autoZero"/>
        <c:auto val="1"/>
        <c:lblOffset val="100"/>
        <c:baseTimeUnit val="months"/>
      </c:dateAx>
      <c:valAx>
        <c:axId val="8923271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6074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95f93f-5743-4693-b1da-c2e5c6dfce0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Feed Cost % of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Poulty_Farm_Analysis!$H$1</c:f>
              <c:strCache>
                <c:ptCount val="1"/>
                <c:pt idx="0">
                  <c:v>Feed Cost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Poulty_Farm_Analysis!$A$2:$A$9</c:f>
              <c:numCache>
                <c:formatCode>[$-409]d\-mmm\-yyyy;@</c:formatCode>
                <c:ptCount val="8"/>
                <c:pt idx="0" c:formatCode="[$-409]d\-mmm\-yyyy;@">
                  <c:v>45505</c:v>
                </c:pt>
                <c:pt idx="1" c:formatCode="[$-409]d\-mmm\-yyyy;@">
                  <c:v>45536</c:v>
                </c:pt>
                <c:pt idx="2" c:formatCode="[$-409]d\-mmm\-yyyy;@">
                  <c:v>45566</c:v>
                </c:pt>
                <c:pt idx="3" c:formatCode="[$-409]d\-mmm\-yyyy;@">
                  <c:v>45597</c:v>
                </c:pt>
                <c:pt idx="4" c:formatCode="[$-409]d\-mmm\-yyyy;@">
                  <c:v>45627</c:v>
                </c:pt>
                <c:pt idx="5" c:formatCode="[$-409]d\-mmm\-yyyy;@">
                  <c:v>45658</c:v>
                </c:pt>
                <c:pt idx="6" c:formatCode="[$-409]d\-mmm\-yyyy;@">
                  <c:v>45689</c:v>
                </c:pt>
                <c:pt idx="7" c:formatCode="[$-409]d\-mmm\-yyyy;@">
                  <c:v>45717</c:v>
                </c:pt>
              </c:numCache>
            </c:numRef>
          </c:cat>
          <c:val>
            <c:numRef>
              <c:f>Poulty_Farm_Analysis!$H$2:$H$9</c:f>
              <c:numCache>
                <c:formatCode>0.00%</c:formatCode>
                <c:ptCount val="8"/>
                <c:pt idx="0">
                  <c:v>0.714285714285714</c:v>
                </c:pt>
                <c:pt idx="1">
                  <c:v>0.720164609053498</c:v>
                </c:pt>
                <c:pt idx="2">
                  <c:v>0.833333333333333</c:v>
                </c:pt>
                <c:pt idx="3">
                  <c:v>0.780590717299578</c:v>
                </c:pt>
                <c:pt idx="4">
                  <c:v>0.760869565217391</c:v>
                </c:pt>
                <c:pt idx="5">
                  <c:v>0.915492957746479</c:v>
                </c:pt>
                <c:pt idx="6">
                  <c:v>0.760683760683761</c:v>
                </c:pt>
                <c:pt idx="7">
                  <c:v>0.690763052208835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9989311"/>
        <c:axId val="961130029"/>
      </c:lineChart>
      <c:dateAx>
        <c:axId val="8299893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1130029"/>
        <c:crosses val="autoZero"/>
        <c:auto val="1"/>
        <c:lblOffset val="100"/>
        <c:baseTimeUnit val="months"/>
      </c:dateAx>
      <c:valAx>
        <c:axId val="96113002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98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1c85fdd-8df4-469d-9e83-19136e37fb3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Egg Production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[1]Sheet1!$A$2:$A$9</c:f>
              <c:numCache>
                <c:formatCode>m/d/yyyy;@</c:formatCode>
                <c:ptCount val="8"/>
                <c:pt idx="0" c:formatCode="m/d/yyyy;@">
                  <c:v>45505</c:v>
                </c:pt>
                <c:pt idx="1" c:formatCode="m/d/yyyy;@">
                  <c:v>45536</c:v>
                </c:pt>
                <c:pt idx="2" c:formatCode="m/d/yyyy;@">
                  <c:v>45566</c:v>
                </c:pt>
                <c:pt idx="3" c:formatCode="m/d/yyyy;@">
                  <c:v>45597</c:v>
                </c:pt>
                <c:pt idx="4" c:formatCode="m/d/yyyy;@">
                  <c:v>45627</c:v>
                </c:pt>
                <c:pt idx="5" c:formatCode="m/d/yyyy;@">
                  <c:v>45658</c:v>
                </c:pt>
                <c:pt idx="6" c:formatCode="m/d/yyyy;@">
                  <c:v>45689</c:v>
                </c:pt>
                <c:pt idx="7" c:formatCode="m/d/yyyy;@">
                  <c:v>45717</c:v>
                </c:pt>
              </c:numCache>
            </c:numRef>
          </c:cat>
          <c:val>
            <c:numRef>
              <c:f>[1]Sheet1!$E$2:$E$9</c:f>
              <c:numCache>
                <c:formatCode>#,##0</c:formatCode>
                <c:ptCount val="8"/>
                <c:pt idx="0">
                  <c:v>8400</c:v>
                </c:pt>
                <c:pt idx="1">
                  <c:v>8100</c:v>
                </c:pt>
                <c:pt idx="2">
                  <c:v>7600</c:v>
                </c:pt>
                <c:pt idx="3">
                  <c:v>7900</c:v>
                </c:pt>
                <c:pt idx="4">
                  <c:v>9200</c:v>
                </c:pt>
                <c:pt idx="5">
                  <c:v>7100</c:v>
                </c:pt>
                <c:pt idx="6">
                  <c:v>7800</c:v>
                </c:pt>
                <c:pt idx="7">
                  <c:v>8300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68660"/>
        <c:axId val="742079006"/>
      </c:lineChart>
      <c:dateAx>
        <c:axId val="9289686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2079006"/>
        <c:crosses val="autoZero"/>
        <c:auto val="1"/>
        <c:lblOffset val="100"/>
        <c:baseTimeUnit val="months"/>
      </c:dateAx>
      <c:valAx>
        <c:axId val="74207900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9686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b26439-a0ab-4c61-8cf8-08fc02686cd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Mortality Rate of Birds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Poulty_Farm_Analysis!$I$1</c:f>
              <c:strCache>
                <c:ptCount val="1"/>
                <c:pt idx="0">
                  <c:v>Mortality Rate (%)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Poulty_Farm_Analysis!$A$2:$A$9</c:f>
              <c:numCache>
                <c:formatCode>[$-409]d\-mmm\-yyyy;@</c:formatCode>
                <c:ptCount val="8"/>
                <c:pt idx="0" c:formatCode="[$-409]d\-mmm\-yyyy;@">
                  <c:v>45505</c:v>
                </c:pt>
                <c:pt idx="1" c:formatCode="[$-409]d\-mmm\-yyyy;@">
                  <c:v>45536</c:v>
                </c:pt>
                <c:pt idx="2" c:formatCode="[$-409]d\-mmm\-yyyy;@">
                  <c:v>45566</c:v>
                </c:pt>
                <c:pt idx="3" c:formatCode="[$-409]d\-mmm\-yyyy;@">
                  <c:v>45597</c:v>
                </c:pt>
                <c:pt idx="4" c:formatCode="[$-409]d\-mmm\-yyyy;@">
                  <c:v>45627</c:v>
                </c:pt>
                <c:pt idx="5" c:formatCode="[$-409]d\-mmm\-yyyy;@">
                  <c:v>45658</c:v>
                </c:pt>
                <c:pt idx="6" c:formatCode="[$-409]d\-mmm\-yyyy;@">
                  <c:v>45689</c:v>
                </c:pt>
                <c:pt idx="7" c:formatCode="[$-409]d\-mmm\-yyyy;@">
                  <c:v>45717</c:v>
                </c:pt>
              </c:numCache>
            </c:numRef>
          </c:cat>
          <c:val>
            <c:numRef>
              <c:f>Poulty_Farm_Analysis!$I$2:$I$9</c:f>
              <c:numCache>
                <c:formatCode>0.00%</c:formatCode>
                <c:ptCount val="8"/>
                <c:pt idx="0">
                  <c:v>0.024</c:v>
                </c:pt>
                <c:pt idx="1">
                  <c:v>0.0163934426229508</c:v>
                </c:pt>
                <c:pt idx="2">
                  <c:v>0.0458333333333333</c:v>
                </c:pt>
                <c:pt idx="3">
                  <c:v>0.0327510917030568</c:v>
                </c:pt>
                <c:pt idx="4">
                  <c:v>0.0203160270880361</c:v>
                </c:pt>
                <c:pt idx="5">
                  <c:v>0.0714285714285714</c:v>
                </c:pt>
                <c:pt idx="6">
                  <c:v>0.0446650124069479</c:v>
                </c:pt>
                <c:pt idx="7">
                  <c:v>0.0285714285714286</c:v>
                </c:pt>
              </c:numCache>
            </c:numRef>
          </c:val>
        </c:ser>
        <c:ser>
          <c:idx val="1"/>
          <c:order val="1"/>
          <c:tx>
            <c:strRef>
              <c:f>"Mortality"</c:f>
              <c:strCache>
                <c:ptCount val="1"/>
                <c:pt idx="0">
                  <c:v>Mortality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Poulty_Farm_Analysis!$A$2:$A$9</c:f>
              <c:numCache>
                <c:formatCode>[$-409]d\-mmm\-yyyy;@</c:formatCode>
                <c:ptCount val="8"/>
                <c:pt idx="0" c:formatCode="[$-409]d\-mmm\-yyyy;@">
                  <c:v>45505</c:v>
                </c:pt>
                <c:pt idx="1" c:formatCode="[$-409]d\-mmm\-yyyy;@">
                  <c:v>45536</c:v>
                </c:pt>
                <c:pt idx="2" c:formatCode="[$-409]d\-mmm\-yyyy;@">
                  <c:v>45566</c:v>
                </c:pt>
                <c:pt idx="3" c:formatCode="[$-409]d\-mmm\-yyyy;@">
                  <c:v>45597</c:v>
                </c:pt>
                <c:pt idx="4" c:formatCode="[$-409]d\-mmm\-yyyy;@">
                  <c:v>45627</c:v>
                </c:pt>
                <c:pt idx="5" c:formatCode="[$-409]d\-mmm\-yyyy;@">
                  <c:v>45658</c:v>
                </c:pt>
                <c:pt idx="6" c:formatCode="[$-409]d\-mmm\-yyyy;@">
                  <c:v>45689</c:v>
                </c:pt>
                <c:pt idx="7" c:formatCode="[$-409]d\-mmm\-yyyy;@">
                  <c:v>45717</c:v>
                </c:pt>
              </c:numCache>
            </c:numRef>
          </c:cat>
          <c:val>
            <c:numRef>
              <c:f>Poulty_Farm_Analysis!$C$2:$C$9</c:f>
              <c:numCache>
                <c:formatCode>General</c:formatCode>
                <c:ptCount val="8"/>
                <c:pt idx="0">
                  <c:v>12</c:v>
                </c:pt>
                <c:pt idx="1">
                  <c:v>8</c:v>
                </c:pt>
                <c:pt idx="2">
                  <c:v>22</c:v>
                </c:pt>
                <c:pt idx="3">
                  <c:v>15</c:v>
                </c:pt>
                <c:pt idx="4">
                  <c:v>9</c:v>
                </c:pt>
                <c:pt idx="5">
                  <c:v>31</c:v>
                </c:pt>
                <c:pt idx="6">
                  <c:v>18</c:v>
                </c:pt>
                <c:pt idx="7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63063487"/>
        <c:axId val="338812143"/>
      </c:barChart>
      <c:dateAx>
        <c:axId val="4630634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812143"/>
        <c:crosses val="autoZero"/>
        <c:auto val="1"/>
        <c:lblOffset val="100"/>
        <c:baseTimeUnit val="months"/>
      </c:dateAx>
      <c:valAx>
        <c:axId val="33881214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06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d6e522-0fc7-4f05-b7c2-e5c290b31d2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7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6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64770</xdr:colOff>
      <xdr:row>14</xdr:row>
      <xdr:rowOff>7620</xdr:rowOff>
    </xdr:from>
    <xdr:to>
      <xdr:col>17</xdr:col>
      <xdr:colOff>448945</xdr:colOff>
      <xdr:row>28</xdr:row>
      <xdr:rowOff>15240</xdr:rowOff>
    </xdr:to>
    <xdr:graphicFrame>
      <xdr:nvGraphicFramePr>
        <xdr:cNvPr id="2" name="Chart 1"/>
        <xdr:cNvGraphicFramePr/>
      </xdr:nvGraphicFramePr>
      <xdr:xfrm>
        <a:off x="10599420" y="2684145"/>
        <a:ext cx="5260975" cy="2674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38735</xdr:colOff>
      <xdr:row>0</xdr:row>
      <xdr:rowOff>36830</xdr:rowOff>
    </xdr:from>
    <xdr:to>
      <xdr:col>17</xdr:col>
      <xdr:colOff>487680</xdr:colOff>
      <xdr:row>13</xdr:row>
      <xdr:rowOff>123190</xdr:rowOff>
    </xdr:to>
    <xdr:graphicFrame>
      <xdr:nvGraphicFramePr>
        <xdr:cNvPr id="4" name="Chart 3"/>
        <xdr:cNvGraphicFramePr/>
      </xdr:nvGraphicFramePr>
      <xdr:xfrm>
        <a:off x="10573385" y="36830"/>
        <a:ext cx="5325745" cy="2572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596900</xdr:colOff>
      <xdr:row>13</xdr:row>
      <xdr:rowOff>167005</xdr:rowOff>
    </xdr:from>
    <xdr:to>
      <xdr:col>26</xdr:col>
      <xdr:colOff>46990</xdr:colOff>
      <xdr:row>27</xdr:row>
      <xdr:rowOff>187960</xdr:rowOff>
    </xdr:to>
    <xdr:graphicFrame>
      <xdr:nvGraphicFramePr>
        <xdr:cNvPr id="5" name="Chart 4"/>
        <xdr:cNvGraphicFramePr/>
      </xdr:nvGraphicFramePr>
      <xdr:xfrm>
        <a:off x="16008350" y="2653030"/>
        <a:ext cx="4936490" cy="2687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550545</xdr:colOff>
      <xdr:row>0</xdr:row>
      <xdr:rowOff>15875</xdr:rowOff>
    </xdr:from>
    <xdr:to>
      <xdr:col>26</xdr:col>
      <xdr:colOff>603250</xdr:colOff>
      <xdr:row>13</xdr:row>
      <xdr:rowOff>94615</xdr:rowOff>
    </xdr:to>
    <xdr:graphicFrame>
      <xdr:nvGraphicFramePr>
        <xdr:cNvPr id="6" name="Chart 5"/>
        <xdr:cNvGraphicFramePr/>
      </xdr:nvGraphicFramePr>
      <xdr:xfrm>
        <a:off x="15961995" y="15875"/>
        <a:ext cx="5539105" cy="2564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2</xdr:row>
      <xdr:rowOff>9525</xdr:rowOff>
    </xdr:from>
    <xdr:to>
      <xdr:col>6</xdr:col>
      <xdr:colOff>8255</xdr:colOff>
      <xdr:row>15</xdr:row>
      <xdr:rowOff>20320</xdr:rowOff>
    </xdr:to>
    <xdr:graphicFrame>
      <xdr:nvGraphicFramePr>
        <xdr:cNvPr id="2" name="Chart 1"/>
        <xdr:cNvGraphicFramePr/>
      </xdr:nvGraphicFramePr>
      <xdr:xfrm>
        <a:off x="9525" y="495300"/>
        <a:ext cx="3656330" cy="2487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20320</xdr:colOff>
      <xdr:row>1</xdr:row>
      <xdr:rowOff>187960</xdr:rowOff>
    </xdr:from>
    <xdr:to>
      <xdr:col>12</xdr:col>
      <xdr:colOff>3810</xdr:colOff>
      <xdr:row>15</xdr:row>
      <xdr:rowOff>23495</xdr:rowOff>
    </xdr:to>
    <xdr:graphicFrame>
      <xdr:nvGraphicFramePr>
        <xdr:cNvPr id="3" name="Chart 2"/>
        <xdr:cNvGraphicFramePr/>
      </xdr:nvGraphicFramePr>
      <xdr:xfrm>
        <a:off x="3677920" y="483235"/>
        <a:ext cx="3641090" cy="2502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0</xdr:rowOff>
    </xdr:from>
    <xdr:to>
      <xdr:col>5</xdr:col>
      <xdr:colOff>603250</xdr:colOff>
      <xdr:row>28</xdr:row>
      <xdr:rowOff>186055</xdr:rowOff>
    </xdr:to>
    <xdr:graphicFrame>
      <xdr:nvGraphicFramePr>
        <xdr:cNvPr id="4" name="Chart 3"/>
        <xdr:cNvGraphicFramePr/>
      </xdr:nvGraphicFramePr>
      <xdr:xfrm>
        <a:off x="9525" y="3152775"/>
        <a:ext cx="3641725" cy="2472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16</xdr:row>
      <xdr:rowOff>6350</xdr:rowOff>
    </xdr:from>
    <xdr:to>
      <xdr:col>11</xdr:col>
      <xdr:colOff>595630</xdr:colOff>
      <xdr:row>28</xdr:row>
      <xdr:rowOff>191135</xdr:rowOff>
    </xdr:to>
    <xdr:graphicFrame>
      <xdr:nvGraphicFramePr>
        <xdr:cNvPr id="6" name="Chart 5"/>
        <xdr:cNvGraphicFramePr/>
      </xdr:nvGraphicFramePr>
      <xdr:xfrm>
        <a:off x="3657600" y="3159125"/>
        <a:ext cx="3643630" cy="2470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book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60" zoomScaleNormal="60" workbookViewId="0">
      <selection activeCell="G21" sqref="G21"/>
    </sheetView>
  </sheetViews>
  <sheetFormatPr defaultColWidth="9.14285714285714" defaultRowHeight="15"/>
  <cols>
    <col min="1" max="6" width="18.7142857142857" customWidth="1"/>
    <col min="7" max="7" width="11.4285714285714" customWidth="1"/>
    <col min="8" max="8" width="14.8571428571429" customWidth="1"/>
    <col min="9" max="9" width="19.4285714285714" customWidth="1"/>
  </cols>
  <sheetData>
    <row r="1" s="7" customFormat="1" ht="15.75" spans="1:9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3" t="s">
        <v>8</v>
      </c>
    </row>
    <row r="2" spans="1:9">
      <c r="A2" s="14">
        <v>45505</v>
      </c>
      <c r="B2" s="15">
        <v>500</v>
      </c>
      <c r="C2" s="15">
        <v>12</v>
      </c>
      <c r="D2" s="16">
        <v>180000</v>
      </c>
      <c r="E2" s="16">
        <v>8400</v>
      </c>
      <c r="F2" s="17">
        <v>252000</v>
      </c>
      <c r="G2" s="18">
        <f>F2-D2</f>
        <v>72000</v>
      </c>
      <c r="H2" s="19">
        <f>D2/F2</f>
        <v>0.714285714285714</v>
      </c>
      <c r="I2" s="20">
        <f>C2/B2</f>
        <v>0.024</v>
      </c>
    </row>
    <row r="3" spans="1:9">
      <c r="A3" s="21">
        <v>45536</v>
      </c>
      <c r="B3" s="22">
        <v>488</v>
      </c>
      <c r="C3" s="22">
        <v>8</v>
      </c>
      <c r="D3" s="23">
        <v>175000</v>
      </c>
      <c r="E3" s="23">
        <v>8100</v>
      </c>
      <c r="F3" s="24">
        <v>243000</v>
      </c>
      <c r="G3" s="25">
        <f t="shared" ref="G3:G9" si="0">F3-D3</f>
        <v>68000</v>
      </c>
      <c r="H3" s="26">
        <f t="shared" ref="H3:H9" si="1">D3/F3</f>
        <v>0.720164609053498</v>
      </c>
      <c r="I3" s="27">
        <f t="shared" ref="I3:I9" si="2">C3/B3</f>
        <v>0.0163934426229508</v>
      </c>
    </row>
    <row r="4" spans="1:9">
      <c r="A4" s="14">
        <v>45566</v>
      </c>
      <c r="B4" s="15">
        <v>480</v>
      </c>
      <c r="C4" s="15">
        <v>22</v>
      </c>
      <c r="D4" s="16">
        <v>190000</v>
      </c>
      <c r="E4" s="16">
        <v>7600</v>
      </c>
      <c r="F4" s="17">
        <v>228000</v>
      </c>
      <c r="G4" s="18">
        <f t="shared" si="0"/>
        <v>38000</v>
      </c>
      <c r="H4" s="19">
        <f t="shared" si="1"/>
        <v>0.833333333333333</v>
      </c>
      <c r="I4" s="20">
        <f t="shared" si="2"/>
        <v>0.0458333333333333</v>
      </c>
    </row>
    <row r="5" spans="1:9">
      <c r="A5" s="21">
        <v>45597</v>
      </c>
      <c r="B5" s="22">
        <v>458</v>
      </c>
      <c r="C5" s="22">
        <v>15</v>
      </c>
      <c r="D5" s="23">
        <v>185000</v>
      </c>
      <c r="E5" s="23">
        <v>7900</v>
      </c>
      <c r="F5" s="24">
        <v>237000</v>
      </c>
      <c r="G5" s="25">
        <f t="shared" si="0"/>
        <v>52000</v>
      </c>
      <c r="H5" s="26">
        <f t="shared" si="1"/>
        <v>0.780590717299578</v>
      </c>
      <c r="I5" s="27">
        <f t="shared" si="2"/>
        <v>0.0327510917030568</v>
      </c>
    </row>
    <row r="6" spans="1:9">
      <c r="A6" s="14">
        <v>45627</v>
      </c>
      <c r="B6" s="15">
        <v>443</v>
      </c>
      <c r="C6" s="15">
        <v>9</v>
      </c>
      <c r="D6" s="16">
        <v>210000</v>
      </c>
      <c r="E6" s="16">
        <v>9200</v>
      </c>
      <c r="F6" s="17">
        <v>276000</v>
      </c>
      <c r="G6" s="18">
        <f t="shared" si="0"/>
        <v>66000</v>
      </c>
      <c r="H6" s="19">
        <f t="shared" si="1"/>
        <v>0.760869565217391</v>
      </c>
      <c r="I6" s="20">
        <f t="shared" si="2"/>
        <v>0.0203160270880361</v>
      </c>
    </row>
    <row r="7" spans="1:9">
      <c r="A7" s="21">
        <v>45658</v>
      </c>
      <c r="B7" s="22">
        <v>434</v>
      </c>
      <c r="C7" s="22">
        <v>31</v>
      </c>
      <c r="D7" s="23">
        <v>195000</v>
      </c>
      <c r="E7" s="23">
        <v>7100</v>
      </c>
      <c r="F7" s="24">
        <v>213000</v>
      </c>
      <c r="G7" s="25">
        <f t="shared" si="0"/>
        <v>18000</v>
      </c>
      <c r="H7" s="26">
        <f t="shared" si="1"/>
        <v>0.915492957746479</v>
      </c>
      <c r="I7" s="27">
        <f t="shared" si="2"/>
        <v>0.0714285714285714</v>
      </c>
    </row>
    <row r="8" spans="1:9">
      <c r="A8" s="14">
        <v>45689</v>
      </c>
      <c r="B8" s="15">
        <v>403</v>
      </c>
      <c r="C8" s="15">
        <v>18</v>
      </c>
      <c r="D8" s="16">
        <v>178000</v>
      </c>
      <c r="E8" s="16">
        <v>7800</v>
      </c>
      <c r="F8" s="17">
        <v>234000</v>
      </c>
      <c r="G8" s="18">
        <f t="shared" si="0"/>
        <v>56000</v>
      </c>
      <c r="H8" s="19">
        <f t="shared" si="1"/>
        <v>0.760683760683761</v>
      </c>
      <c r="I8" s="20">
        <f t="shared" si="2"/>
        <v>0.0446650124069479</v>
      </c>
    </row>
    <row r="9" spans="1:9">
      <c r="A9" s="28">
        <v>45717</v>
      </c>
      <c r="B9" s="29">
        <v>385</v>
      </c>
      <c r="C9" s="29">
        <v>11</v>
      </c>
      <c r="D9" s="30">
        <v>172000</v>
      </c>
      <c r="E9" s="30">
        <v>8300</v>
      </c>
      <c r="F9" s="31">
        <v>249000</v>
      </c>
      <c r="G9" s="32">
        <f t="shared" si="0"/>
        <v>77000</v>
      </c>
      <c r="H9" s="33">
        <f t="shared" si="1"/>
        <v>0.690763052208835</v>
      </c>
      <c r="I9" s="34">
        <f t="shared" si="2"/>
        <v>0.0285714285714286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showGridLines="0" showRowColHeaders="0" tabSelected="1" zoomScale="70" zoomScaleNormal="70" workbookViewId="0">
      <selection activeCell="A2" sqref="A2:F2"/>
    </sheetView>
  </sheetViews>
  <sheetFormatPr defaultColWidth="9.14285714285714" defaultRowHeight="15"/>
  <sheetData>
    <row r="1" ht="23.25" spans="1:12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10</v>
      </c>
      <c r="B2" s="4"/>
      <c r="C2" s="4"/>
      <c r="D2" s="4"/>
      <c r="E2" s="4"/>
      <c r="F2" s="4"/>
      <c r="G2" s="3" t="s">
        <v>11</v>
      </c>
      <c r="H2" s="4"/>
      <c r="I2" s="4"/>
      <c r="J2" s="4"/>
      <c r="K2" s="4"/>
      <c r="L2" s="4"/>
    </row>
    <row r="16" spans="1:12">
      <c r="A16" s="3" t="s">
        <v>12</v>
      </c>
      <c r="B16" s="4"/>
      <c r="C16" s="4"/>
      <c r="D16" s="4"/>
      <c r="E16" s="4"/>
      <c r="F16" s="4"/>
      <c r="G16" s="3" t="s">
        <v>2</v>
      </c>
      <c r="H16" s="4"/>
      <c r="I16" s="4"/>
      <c r="J16" s="4"/>
      <c r="K16" s="4"/>
      <c r="L16" s="4"/>
    </row>
    <row r="30" spans="1:12">
      <c r="A30" s="5" t="s">
        <v>13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</sheetData>
  <mergeCells count="6">
    <mergeCell ref="A1:L1"/>
    <mergeCell ref="A2:F2"/>
    <mergeCell ref="G2:L2"/>
    <mergeCell ref="A16:F16"/>
    <mergeCell ref="G16:L16"/>
    <mergeCell ref="A30:L30"/>
  </mergeCells>
  <pageMargins left="0.75" right="0.75" top="1" bottom="1" header="0.5" footer="0.5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Poulty_Farm_Analysis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Nashemm001</dc:creator>
  <cp:lastModifiedBy>Nashemm001</cp:lastModifiedBy>
  <dcterms:created xsi:type="dcterms:W3CDTF">2026-06-08T16:47:47Z</dcterms:created>
  <dcterms:modified xsi:type="dcterms:W3CDTF">2026-06-09T10:51:33Z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DCDDA77324B34AE1957EE8C55CCC0D14_11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